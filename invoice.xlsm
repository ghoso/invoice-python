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\Documents\ビジネス関連\ITアカデメイア\ExcelPython\programs\"/>
    </mc:Choice>
  </mc:AlternateContent>
  <xr:revisionPtr revIDLastSave="0" documentId="13_ncr:1_{13029A88-55B8-4A15-91EF-F2E5021A1DCB}" xr6:coauthVersionLast="45" xr6:coauthVersionMax="45" xr10:uidLastSave="{00000000-0000-0000-0000-000000000000}"/>
  <bookViews>
    <workbookView xWindow="6960" yWindow="705" windowWidth="17460" windowHeight="13125" activeTab="2" xr2:uid="{BAEE755F-D421-4047-BC19-CA6B1FF00980}"/>
  </bookViews>
  <sheets>
    <sheet name="請求データ" sheetId="1" r:id="rId1"/>
    <sheet name="請求先情報" sheetId="3" r:id="rId2"/>
    <sheet name="請求書テンプレート" sheetId="4" r:id="rId3"/>
  </sheets>
  <definedNames>
    <definedName name="_xlnm.Print_Area" localSheetId="2">請求書テンプレート!$A$1:$Q$39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" l="1"/>
  <c r="O18" i="4" l="1"/>
  <c r="L30" i="4" s="1"/>
  <c r="O19" i="4"/>
  <c r="O20" i="4"/>
  <c r="O21" i="4"/>
  <c r="O22" i="4"/>
  <c r="O23" i="4"/>
  <c r="O24" i="4"/>
  <c r="O25" i="4"/>
  <c r="O26" i="4"/>
  <c r="O27" i="4"/>
  <c r="O28" i="4"/>
  <c r="O29" i="4"/>
  <c r="L31" i="4" l="1"/>
  <c r="L32" i="4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5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数式が入っています。</t>
        </r>
      </text>
    </comment>
    <comment ref="O18" authorId="0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19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0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1" authorId="0" shapeId="0" xr:uid="{00000000-0006-0000-0000-000005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2" authorId="0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3" authorId="0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4" authorId="0" shapeId="0" xr:uid="{00000000-0006-0000-0000-000008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5" authorId="0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6" authorId="0" shapeId="0" xr:uid="{00000000-0006-0000-0000-00000A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7" authorId="0" shapeId="0" xr:uid="{00000000-0006-0000-0000-00000B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8" authorId="0" shapeId="0" xr:uid="{00000000-0006-0000-0000-00000C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O29" authorId="0" shapeId="0" xr:uid="{00000000-0006-0000-0000-00000D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0" authorId="0" shapeId="0" xr:uid="{00000000-0006-0000-0000-00000E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1" authorId="0" shapeId="0" xr:uid="{00000000-0006-0000-0000-00000F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  <comment ref="L32" authorId="0" shapeId="0" xr:uid="{00000000-0006-0000-0000-000010000000}">
      <text>
        <r>
          <rPr>
            <sz val="9"/>
            <color indexed="81"/>
            <rFont val="ＭＳ Ｐゴシック"/>
            <family val="3"/>
            <charset val="128"/>
          </rPr>
          <t>数式が入っています</t>
        </r>
      </text>
    </comment>
  </commentList>
</comments>
</file>

<file path=xl/sharedStrings.xml><?xml version="1.0" encoding="utf-8"?>
<sst xmlns="http://schemas.openxmlformats.org/spreadsheetml/2006/main" count="102" uniqueCount="96">
  <si>
    <t>請求データ</t>
    <rPh sb="0" eb="2">
      <t>セイキュウ</t>
    </rPh>
    <phoneticPr fontId="1"/>
  </si>
  <si>
    <t>No</t>
    <phoneticPr fontId="1"/>
  </si>
  <si>
    <t>請求書番号</t>
    <rPh sb="0" eb="3">
      <t>セイキュウショ</t>
    </rPh>
    <rPh sb="3" eb="5">
      <t>バンゴウ</t>
    </rPh>
    <phoneticPr fontId="1"/>
  </si>
  <si>
    <t>請求済日</t>
    <rPh sb="0" eb="2">
      <t>セイキュウ</t>
    </rPh>
    <rPh sb="2" eb="3">
      <t>スミ</t>
    </rPh>
    <rPh sb="3" eb="4">
      <t>ビ</t>
    </rPh>
    <phoneticPr fontId="1"/>
  </si>
  <si>
    <t>XXX株式会社</t>
    <rPh sb="3" eb="5">
      <t>カブシキ</t>
    </rPh>
    <rPh sb="5" eb="7">
      <t>カイシャ</t>
    </rPh>
    <phoneticPr fontId="1"/>
  </si>
  <si>
    <t>請求内容</t>
    <rPh sb="0" eb="2">
      <t>セイキュウ</t>
    </rPh>
    <rPh sb="2" eb="4">
      <t>ナイヨウ</t>
    </rPh>
    <phoneticPr fontId="1"/>
  </si>
  <si>
    <t>請求単価</t>
    <rPh sb="0" eb="2">
      <t>セイキュウ</t>
    </rPh>
    <rPh sb="2" eb="4">
      <t>タンカ</t>
    </rPh>
    <phoneticPr fontId="1"/>
  </si>
  <si>
    <t>個数</t>
    <rPh sb="0" eb="2">
      <t>コスウ</t>
    </rPh>
    <phoneticPr fontId="1"/>
  </si>
  <si>
    <t>請求金額</t>
    <rPh sb="0" eb="2">
      <t>セイキュウ</t>
    </rPh>
    <rPh sb="2" eb="4">
      <t>キンガク</t>
    </rPh>
    <phoneticPr fontId="1"/>
  </si>
  <si>
    <t>ABCコーポレーション</t>
    <phoneticPr fontId="1"/>
  </si>
  <si>
    <t>USBケーブル</t>
    <phoneticPr fontId="1"/>
  </si>
  <si>
    <t>HDD</t>
    <phoneticPr fontId="1"/>
  </si>
  <si>
    <t>変換コネクタ</t>
    <rPh sb="0" eb="2">
      <t>ヘンカン</t>
    </rPh>
    <phoneticPr fontId="1"/>
  </si>
  <si>
    <t>株式会社１２３</t>
    <rPh sb="0" eb="2">
      <t>カブシキ</t>
    </rPh>
    <rPh sb="2" eb="4">
      <t>カイシャ</t>
    </rPh>
    <phoneticPr fontId="1"/>
  </si>
  <si>
    <t>PC本体</t>
    <rPh sb="2" eb="4">
      <t>ホンタイ</t>
    </rPh>
    <phoneticPr fontId="1"/>
  </si>
  <si>
    <t>サイバーテック</t>
    <phoneticPr fontId="1"/>
  </si>
  <si>
    <t>ソフトウェア</t>
    <phoneticPr fontId="1"/>
  </si>
  <si>
    <t>年間保守サービス</t>
    <rPh sb="0" eb="2">
      <t>ネンカン</t>
    </rPh>
    <rPh sb="2" eb="4">
      <t>ホシュ</t>
    </rPh>
    <phoneticPr fontId="1"/>
  </si>
  <si>
    <t>導入サービス</t>
    <rPh sb="0" eb="2">
      <t>ドウニュウ</t>
    </rPh>
    <phoneticPr fontId="1"/>
  </si>
  <si>
    <t>請求書件名</t>
    <rPh sb="0" eb="3">
      <t>セイキュウショ</t>
    </rPh>
    <rPh sb="3" eb="5">
      <t>ケンメイ</t>
    </rPh>
    <phoneticPr fontId="1"/>
  </si>
  <si>
    <t>増設ハードディスク</t>
    <rPh sb="0" eb="2">
      <t>ゾウセツ</t>
    </rPh>
    <phoneticPr fontId="1"/>
  </si>
  <si>
    <t>PC USBケーブル</t>
    <phoneticPr fontId="1"/>
  </si>
  <si>
    <t>WindowsデスクトップPC</t>
    <phoneticPr fontId="1"/>
  </si>
  <si>
    <t>ソフトインストールサービス</t>
    <phoneticPr fontId="1"/>
  </si>
  <si>
    <t>請求先ID</t>
    <rPh sb="0" eb="3">
      <t>セイキュウサキ</t>
    </rPh>
    <phoneticPr fontId="1"/>
  </si>
  <si>
    <t>r1212@cybertech-inc.com</t>
    <phoneticPr fontId="1"/>
  </si>
  <si>
    <t>東京都千代田区丸の内１－２－３</t>
    <rPh sb="0" eb="3">
      <t>トウキョウト</t>
    </rPh>
    <rPh sb="3" eb="7">
      <t>チヨダク</t>
    </rPh>
    <rPh sb="7" eb="8">
      <t>マル</t>
    </rPh>
    <rPh sb="9" eb="10">
      <t>ウチ</t>
    </rPh>
    <phoneticPr fontId="1"/>
  </si>
  <si>
    <t>sales@onetwothree.net</t>
    <phoneticPr fontId="1"/>
  </si>
  <si>
    <t>神奈川県横浜市西区５－２－１</t>
    <rPh sb="0" eb="4">
      <t>カナガワケン</t>
    </rPh>
    <rPh sb="4" eb="7">
      <t>ヨコハマシ</t>
    </rPh>
    <rPh sb="7" eb="9">
      <t>ニシク</t>
    </rPh>
    <phoneticPr fontId="1"/>
  </si>
  <si>
    <t>it-div@abc-corp.com</t>
    <phoneticPr fontId="1"/>
  </si>
  <si>
    <t>愛知県名古屋市中区３－１３－３</t>
    <rPh sb="0" eb="3">
      <t>アイチケン</t>
    </rPh>
    <rPh sb="3" eb="7">
      <t>ナゴヤシ</t>
    </rPh>
    <rPh sb="7" eb="9">
      <t>ナカク</t>
    </rPh>
    <phoneticPr fontId="1"/>
  </si>
  <si>
    <t>竹内</t>
    <rPh sb="0" eb="2">
      <t>タケウチ</t>
    </rPh>
    <phoneticPr fontId="1"/>
  </si>
  <si>
    <t>p123123@xxx-inc.co.jp</t>
    <phoneticPr fontId="1"/>
  </si>
  <si>
    <t>東京都渋谷区渋谷１－１－１</t>
    <rPh sb="0" eb="3">
      <t>トウキョウト</t>
    </rPh>
    <rPh sb="3" eb="6">
      <t>シブヤク</t>
    </rPh>
    <rPh sb="6" eb="8">
      <t>シブヤ</t>
    </rPh>
    <phoneticPr fontId="1"/>
  </si>
  <si>
    <t>山田</t>
    <rPh sb="0" eb="2">
      <t>ヤマダ</t>
    </rPh>
    <phoneticPr fontId="1"/>
  </si>
  <si>
    <t>請求先メールアドレス</t>
    <rPh sb="0" eb="2">
      <t>セイキュウ</t>
    </rPh>
    <rPh sb="2" eb="3">
      <t>サキ</t>
    </rPh>
    <phoneticPr fontId="1"/>
  </si>
  <si>
    <t>請求先住所</t>
    <rPh sb="0" eb="3">
      <t>セイキュウサキ</t>
    </rPh>
    <rPh sb="3" eb="5">
      <t>ジュウショ</t>
    </rPh>
    <phoneticPr fontId="1"/>
  </si>
  <si>
    <t>担当者名</t>
    <rPh sb="0" eb="4">
      <t>タントウシャメイ</t>
    </rPh>
    <phoneticPr fontId="1"/>
  </si>
  <si>
    <t>請求先企業名</t>
    <rPh sb="0" eb="3">
      <t>セイキュウサキ</t>
    </rPh>
    <rPh sb="3" eb="5">
      <t>キギョウ</t>
    </rPh>
    <rPh sb="5" eb="6">
      <t>メイ</t>
    </rPh>
    <phoneticPr fontId="1"/>
  </si>
  <si>
    <t>請求先情報リスト</t>
    <rPh sb="0" eb="3">
      <t>セイキュウサキ</t>
    </rPh>
    <rPh sb="3" eb="5">
      <t>ジョウホウ</t>
    </rPh>
    <phoneticPr fontId="1"/>
  </si>
  <si>
    <t>マーケティング部</t>
    <rPh sb="7" eb="8">
      <t>ブ</t>
    </rPh>
    <phoneticPr fontId="1"/>
  </si>
  <si>
    <t>吉田</t>
    <rPh sb="0" eb="2">
      <t>ヨシダ</t>
    </rPh>
    <phoneticPr fontId="1"/>
  </si>
  <si>
    <t>ID</t>
    <phoneticPr fontId="1"/>
  </si>
  <si>
    <t>請求先会社名</t>
    <rPh sb="0" eb="3">
      <t>セイキュウサキ</t>
    </rPh>
    <rPh sb="3" eb="6">
      <t>カイシャメイ</t>
    </rPh>
    <phoneticPr fontId="1"/>
  </si>
  <si>
    <t>請求月</t>
    <rPh sb="0" eb="2">
      <t>セイキュウ</t>
    </rPh>
    <rPh sb="2" eb="3">
      <t>ツキ</t>
    </rPh>
    <phoneticPr fontId="1"/>
  </si>
  <si>
    <t>エラー</t>
    <phoneticPr fontId="1"/>
  </si>
  <si>
    <t>担当者名</t>
    <rPh sb="0" eb="4">
      <t>タントウシャメイ</t>
    </rPh>
    <phoneticPr fontId="1"/>
  </si>
  <si>
    <t>サイバーテック</t>
    <phoneticPr fontId="1"/>
  </si>
  <si>
    <t>吉田</t>
  </si>
  <si>
    <t>ABCコーポレーション</t>
    <phoneticPr fontId="1"/>
  </si>
  <si>
    <t>竹内</t>
  </si>
  <si>
    <t>XXX株式会社</t>
    <phoneticPr fontId="1"/>
  </si>
  <si>
    <t>山田</t>
  </si>
  <si>
    <t>株式会社１２３</t>
    <phoneticPr fontId="1"/>
  </si>
  <si>
    <t>マーケティング部</t>
  </si>
  <si>
    <t>備考</t>
    <rPh sb="0" eb="2">
      <t>ビコウ</t>
    </rPh>
    <phoneticPr fontId="1"/>
  </si>
  <si>
    <t>備考</t>
    <rPh sb="0" eb="2">
      <t>ビコウ</t>
    </rPh>
    <phoneticPr fontId="7"/>
  </si>
  <si>
    <t>サンプル（カ</t>
    <phoneticPr fontId="7"/>
  </si>
  <si>
    <t>0123456</t>
    <phoneticPr fontId="7"/>
  </si>
  <si>
    <t>当座</t>
    <rPh sb="0" eb="2">
      <t>トウザ</t>
    </rPh>
    <phoneticPr fontId="7"/>
  </si>
  <si>
    <t>合計</t>
    <rPh sb="0" eb="2">
      <t>ゴウケイ</t>
    </rPh>
    <phoneticPr fontId="7"/>
  </si>
  <si>
    <t>○○銀行　△△支店</t>
    <rPh sb="2" eb="4">
      <t>ギンコウ</t>
    </rPh>
    <rPh sb="7" eb="9">
      <t>シテン</t>
    </rPh>
    <phoneticPr fontId="7"/>
  </si>
  <si>
    <t>消費税</t>
    <rPh sb="0" eb="3">
      <t>ショウヒゼイ</t>
    </rPh>
    <phoneticPr fontId="7"/>
  </si>
  <si>
    <t>お振込先</t>
    <rPh sb="1" eb="3">
      <t>フリコミ</t>
    </rPh>
    <rPh sb="3" eb="4">
      <t>サキ</t>
    </rPh>
    <phoneticPr fontId="7"/>
  </si>
  <si>
    <t>小計</t>
    <rPh sb="0" eb="2">
      <t>ショウケイ</t>
    </rPh>
    <phoneticPr fontId="7"/>
  </si>
  <si>
    <t>金額</t>
    <rPh sb="0" eb="2">
      <t>キンガク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</si>
  <si>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</si>
  <si>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</si>
  <si>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摘要</t>
    <rPh sb="0" eb="2">
      <t>テキヨウ</t>
    </rPh>
    <phoneticPr fontId="7"/>
  </si>
  <si>
    <t>No.</t>
    <phoneticPr fontId="7"/>
  </si>
  <si>
    <t>お支払期限：</t>
    <rPh sb="1" eb="3">
      <t>シハライ</t>
    </rPh>
    <rPh sb="3" eb="5">
      <t>キゲン</t>
    </rPh>
    <phoneticPr fontId="7"/>
  </si>
  <si>
    <t>（税込）</t>
    <rPh sb="1" eb="3">
      <t>ゼイコミ</t>
    </rPh>
    <phoneticPr fontId="7"/>
  </si>
  <si>
    <t>合計金額</t>
    <rPh sb="0" eb="2">
      <t>ゴウケイ</t>
    </rPh>
    <rPh sb="2" eb="4">
      <t>キンガク</t>
    </rPh>
    <phoneticPr fontId="7"/>
  </si>
  <si>
    <t>担当：</t>
    <rPh sb="0" eb="2">
      <t>タントウ</t>
    </rPh>
    <phoneticPr fontId="7"/>
  </si>
  <si>
    <t>E-Mail：</t>
    <phoneticPr fontId="7"/>
  </si>
  <si>
    <t>FAX：</t>
    <phoneticPr fontId="7"/>
  </si>
  <si>
    <t>ヶ月</t>
    <rPh sb="1" eb="2">
      <t>ゲツ</t>
    </rPh>
    <phoneticPr fontId="7"/>
  </si>
  <si>
    <t>TEL：</t>
    <phoneticPr fontId="7"/>
  </si>
  <si>
    <t>日</t>
    <rPh sb="0" eb="1">
      <t>ニチ</t>
    </rPh>
    <phoneticPr fontId="7"/>
  </si>
  <si>
    <t>新宿第1ビル2階</t>
    <rPh sb="0" eb="2">
      <t>シンジュク</t>
    </rPh>
    <rPh sb="2" eb="3">
      <t>ダイ</t>
    </rPh>
    <rPh sb="7" eb="8">
      <t>カイ</t>
    </rPh>
    <phoneticPr fontId="7"/>
  </si>
  <si>
    <t>時間</t>
    <rPh sb="0" eb="2">
      <t>ジカン</t>
    </rPh>
    <phoneticPr fontId="7"/>
  </si>
  <si>
    <t>東京都新宿区新宿1-2-3</t>
    <rPh sb="0" eb="3">
      <t>トウキョウト</t>
    </rPh>
    <rPh sb="3" eb="6">
      <t>シンジュクク</t>
    </rPh>
    <rPh sb="6" eb="8">
      <t>シンジュク</t>
    </rPh>
    <phoneticPr fontId="7"/>
  </si>
  <si>
    <t>式</t>
    <rPh sb="0" eb="1">
      <t>シキ</t>
    </rPh>
    <phoneticPr fontId="7"/>
  </si>
  <si>
    <t>〒</t>
    <phoneticPr fontId="7"/>
  </si>
  <si>
    <t>下記の通り、ご請求申し上げます。</t>
    <rPh sb="0" eb="2">
      <t>カキ</t>
    </rPh>
    <rPh sb="3" eb="4">
      <t>トオ</t>
    </rPh>
    <rPh sb="7" eb="9">
      <t>セイキュウ</t>
    </rPh>
    <rPh sb="9" eb="10">
      <t>モウ</t>
    </rPh>
    <rPh sb="11" eb="12">
      <t>ア</t>
    </rPh>
    <phoneticPr fontId="7"/>
  </si>
  <si>
    <t>個</t>
    <rPh sb="0" eb="1">
      <t>コ</t>
    </rPh>
    <phoneticPr fontId="7"/>
  </si>
  <si>
    <t>○○株式会社</t>
    <rPh sb="2" eb="6">
      <t>カブシキガイシャ</t>
    </rPh>
    <phoneticPr fontId="7"/>
  </si>
  <si>
    <t>件名：</t>
    <rPh sb="0" eb="2">
      <t>ケンメイ</t>
    </rPh>
    <phoneticPr fontId="7"/>
  </si>
  <si>
    <t>請求日</t>
    <rPh sb="0" eb="2">
      <t>セイキュウ</t>
    </rPh>
    <rPh sb="2" eb="3">
      <t>ビ</t>
    </rPh>
    <phoneticPr fontId="7"/>
  </si>
  <si>
    <t>様</t>
    <rPh sb="0" eb="1">
      <t>サマ</t>
    </rPh>
    <phoneticPr fontId="7"/>
  </si>
  <si>
    <t>ご担当：</t>
    <rPh sb="1" eb="3">
      <t>タントウ</t>
    </rPh>
    <phoneticPr fontId="7"/>
  </si>
  <si>
    <t>請求No.</t>
    <rPh sb="0" eb="2">
      <t>セイキュウ</t>
    </rPh>
    <phoneticPr fontId="7"/>
  </si>
  <si>
    <t>御中</t>
    <rPh sb="0" eb="2">
      <t>オンチュウ</t>
    </rPh>
    <phoneticPr fontId="7"/>
  </si>
  <si>
    <t>請　求　書</t>
    <rPh sb="0" eb="1">
      <t>ショウ</t>
    </rPh>
    <rPh sb="2" eb="3">
      <t>モトム</t>
    </rPh>
    <rPh sb="4" eb="5">
      <t>ショ</t>
    </rPh>
    <phoneticPr fontId="7"/>
  </si>
  <si>
    <t>回収期限</t>
    <rPh sb="0" eb="2">
      <t>カイシュウ</t>
    </rPh>
    <rPh sb="2" eb="4">
      <t>キゲン</t>
    </rPh>
    <phoneticPr fontId="1"/>
  </si>
  <si>
    <t>いつもありがとうございます。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</si>
</sst>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6" formatCode="&quot;¥&quot;#,##0;[Red]&quot;¥&quot;\-#,##0"/>
    <numFmt numFmtId="176" formatCode="#,##0;[Red]\-#,##0&quot;（税込）&quot;"/>
    <numFmt numFmtId="177" formatCode="[$-F800]dddd\,\ mmmm\ dd\,\ yyyy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6">
    <xf numFmtId="0" fontId="0" fillId="0" borderId="0">
      <alignment vertical="center"/>
    </xf>
    <xf numFmtId="0" fontId="3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5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55" fontId="0" fillId="0" borderId="1" xfId="0" applyNumberFormat="1" applyBorder="1">
      <alignment vertical="center"/>
    </xf>
    <xf numFmtId="0" fontId="3" fillId="0" borderId="0" xfId="1">
      <alignment vertical="center"/>
    </xf>
    <xf numFmtId="0" fontId="4" fillId="0" borderId="0" xfId="1" applyFont="1" applyProtection="1">
      <alignment vertical="center"/>
      <protection locked="0"/>
    </xf>
    <xf numFmtId="0" fontId="5" fillId="0" borderId="0" xfId="2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 applyProtection="1">
      <alignment horizontal="center"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3" fillId="0" borderId="0" xfId="1" applyProtection="1">
      <alignment vertical="center"/>
      <protection locked="0"/>
    </xf>
    <xf numFmtId="0" fontId="4" fillId="0" borderId="0" xfId="1" applyFont="1" applyAlignment="1" applyProtection="1">
      <alignment horizontal="right" vertical="center"/>
      <protection locked="0"/>
    </xf>
    <xf numFmtId="9" fontId="3" fillId="0" borderId="0" xfId="5" applyFont="1">
      <alignment vertical="center"/>
    </xf>
    <xf numFmtId="0" fontId="4" fillId="0" borderId="1" xfId="1" applyFont="1" applyBorder="1" applyAlignment="1" applyProtection="1">
      <alignment horizontal="left"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0" xfId="1" quotePrefix="1" applyFont="1" applyProtection="1">
      <alignment vertical="center"/>
      <protection locked="0"/>
    </xf>
    <xf numFmtId="0" fontId="6" fillId="5" borderId="1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Protection="1">
      <alignment vertical="center"/>
      <protection locked="0"/>
    </xf>
    <xf numFmtId="0" fontId="8" fillId="0" borderId="2" xfId="1" applyFont="1" applyBorder="1" applyProtection="1">
      <alignment vertical="center"/>
      <protection locked="0"/>
    </xf>
    <xf numFmtId="0" fontId="4" fillId="0" borderId="2" xfId="1" applyFont="1" applyBorder="1" applyProtection="1">
      <alignment vertical="center"/>
      <protection locked="0"/>
    </xf>
    <xf numFmtId="6" fontId="6" fillId="0" borderId="1" xfId="3" applyFont="1" applyBorder="1" applyAlignment="1" applyProtection="1">
      <alignment horizontal="right" vertical="center"/>
    </xf>
    <xf numFmtId="38" fontId="4" fillId="0" borderId="5" xfId="4" applyFont="1" applyBorder="1" applyAlignment="1" applyProtection="1">
      <alignment horizontal="right" vertical="center"/>
      <protection locked="0"/>
    </xf>
    <xf numFmtId="38" fontId="4" fillId="0" borderId="4" xfId="4" applyFont="1" applyBorder="1" applyAlignment="1" applyProtection="1">
      <alignment horizontal="right" vertical="center"/>
      <protection locked="0"/>
    </xf>
    <xf numFmtId="38" fontId="4" fillId="0" borderId="3" xfId="4" applyFont="1" applyBorder="1" applyAlignment="1" applyProtection="1">
      <alignment horizontal="right" vertical="center"/>
      <protection locked="0"/>
    </xf>
    <xf numFmtId="6" fontId="4" fillId="0" borderId="1" xfId="3" applyFont="1" applyBorder="1" applyAlignment="1" applyProtection="1">
      <alignment horizontal="right" vertical="center"/>
    </xf>
    <xf numFmtId="6" fontId="4" fillId="0" borderId="1" xfId="1" applyNumberFormat="1" applyFont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4" fillId="0" borderId="0" xfId="1" applyFont="1" applyAlignment="1" applyProtection="1">
      <alignment horizontal="right" vertical="center"/>
      <protection locked="0"/>
    </xf>
    <xf numFmtId="0" fontId="6" fillId="0" borderId="6" xfId="1" applyFont="1" applyBorder="1" applyAlignment="1" applyProtection="1">
      <alignment horizontal="center" vertical="center"/>
      <protection locked="0"/>
    </xf>
    <xf numFmtId="38" fontId="4" fillId="0" borderId="1" xfId="4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horizontal="center" vertical="center"/>
      <protection locked="0"/>
    </xf>
    <xf numFmtId="6" fontId="2" fillId="0" borderId="6" xfId="3" applyFont="1" applyBorder="1" applyAlignment="1" applyProtection="1">
      <alignment horizontal="center" vertical="center"/>
    </xf>
    <xf numFmtId="176" fontId="4" fillId="0" borderId="6" xfId="4" applyNumberFormat="1" applyFont="1" applyBorder="1" applyAlignment="1" applyProtection="1">
      <alignment vertical="center"/>
      <protection locked="0"/>
    </xf>
    <xf numFmtId="0" fontId="2" fillId="0" borderId="6" xfId="1" applyFont="1" applyBorder="1" applyAlignment="1" applyProtection="1">
      <alignment horizontal="right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0" fillId="0" borderId="2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177" fontId="4" fillId="0" borderId="0" xfId="1" applyNumberFormat="1" applyFont="1" applyAlignment="1" applyProtection="1">
      <alignment horizontal="right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2" fillId="0" borderId="6" xfId="1" applyFont="1" applyBorder="1" applyProtection="1">
      <alignment vertical="center"/>
      <protection locked="0"/>
    </xf>
  </cellXfs>
  <cellStyles count="6">
    <cellStyle name="パーセント 2" xfId="5" xr:uid="{45B444E2-562F-4FD8-B2A6-741C3FAC3187}"/>
    <cellStyle name="ハイパーリンク" xfId="2" builtinId="8"/>
    <cellStyle name="桁区切り 2" xfId="4" xr:uid="{ABBD9B06-11DC-426D-BF4F-1A10198FB570}"/>
    <cellStyle name="通貨 2" xfId="3" xr:uid="{CBF8FB7A-BD0B-4399-85E9-783AAA859861}"/>
    <cellStyle name="標準" xfId="0" builtinId="0"/>
    <cellStyle name="標準 2" xfId="1" xr:uid="{593034F7-AE73-45EF-8E5A-E872AF74AC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368300</xdr:colOff>
      <xdr:row>5</xdr:row>
      <xdr:rowOff>228600</xdr:rowOff>
    </xdr:from>
    <xdr:ext cx="856292" cy="840417"/>
    <xdr:pic>
      <xdr:nvPicPr>
        <xdr:cNvPr id="2" name="図 1">
          <a:extLst>
            <a:ext uri="{FF2B5EF4-FFF2-40B4-BE49-F238E27FC236}">
              <a16:creationId xmlns:a16="http://schemas.microsoft.com/office/drawing/2014/main" id="{17FBA04A-4A0B-432E-A825-A2D833CD0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1800" y="1419225"/>
          <a:ext cx="856292" cy="84041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2694-DCB7-47CF-A31D-DFDBC6FD5B67}">
  <sheetPr codeName="Sheet1"/>
  <dimension ref="A1:N22"/>
  <sheetViews>
    <sheetView topLeftCell="H1" workbookViewId="0">
      <selection activeCell="N10" sqref="N10"/>
    </sheetView>
  </sheetViews>
  <sheetFormatPr defaultRowHeight="18.75" x14ac:dyDescent="0.4"/>
  <cols>
    <col min="1" max="1" width="4.25" customWidth="1"/>
    <col min="2" max="2" width="13.5" customWidth="1"/>
    <col min="3" max="3" width="8" customWidth="1"/>
    <col min="4" max="5" width="20.625" customWidth="1"/>
    <col min="6" max="7" width="26.25" customWidth="1"/>
    <col min="8" max="8" width="15.625" customWidth="1"/>
    <col min="9" max="9" width="10.625" customWidth="1"/>
    <col min="10" max="10" width="19.875" customWidth="1"/>
    <col min="11" max="12" width="15.375" customWidth="1"/>
    <col min="13" max="13" width="16.375" customWidth="1"/>
    <col min="14" max="14" width="35.25" customWidth="1"/>
  </cols>
  <sheetData>
    <row r="1" spans="1:14" ht="24" x14ac:dyDescent="0.4">
      <c r="A1" s="1" t="s">
        <v>0</v>
      </c>
      <c r="B1" s="1"/>
    </row>
    <row r="2" spans="1:14" x14ac:dyDescent="0.4">
      <c r="A2" s="2" t="s">
        <v>1</v>
      </c>
      <c r="B2" s="2" t="s">
        <v>2</v>
      </c>
      <c r="C2" s="2" t="s">
        <v>24</v>
      </c>
      <c r="D2" s="8" t="s">
        <v>43</v>
      </c>
      <c r="E2" s="8" t="s">
        <v>46</v>
      </c>
      <c r="F2" s="2" t="s">
        <v>19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44</v>
      </c>
      <c r="L2" s="4" t="s">
        <v>3</v>
      </c>
      <c r="M2" s="2" t="s">
        <v>94</v>
      </c>
      <c r="N2" s="2" t="s">
        <v>55</v>
      </c>
    </row>
    <row r="3" spans="1:14" x14ac:dyDescent="0.4">
      <c r="A3" s="3">
        <v>1</v>
      </c>
      <c r="B3" s="3">
        <v>1</v>
      </c>
      <c r="C3" s="3">
        <v>1</v>
      </c>
      <c r="D3" s="3" t="s">
        <v>51</v>
      </c>
      <c r="E3" s="3" t="s">
        <v>52</v>
      </c>
      <c r="F3" s="3" t="s">
        <v>20</v>
      </c>
      <c r="G3" s="3" t="s">
        <v>11</v>
      </c>
      <c r="H3" s="5">
        <v>12400</v>
      </c>
      <c r="I3" s="3">
        <v>10</v>
      </c>
      <c r="J3" s="5">
        <f>H3*I3</f>
        <v>124000</v>
      </c>
      <c r="K3" s="9">
        <v>43951</v>
      </c>
      <c r="L3" s="6"/>
      <c r="M3" s="6">
        <v>43982</v>
      </c>
      <c r="N3" s="3" t="s">
        <v>95</v>
      </c>
    </row>
    <row r="4" spans="1:14" x14ac:dyDescent="0.4">
      <c r="A4" s="3">
        <v>2</v>
      </c>
      <c r="B4" s="3">
        <v>2</v>
      </c>
      <c r="C4" s="3">
        <v>2</v>
      </c>
      <c r="D4" s="3" t="s">
        <v>49</v>
      </c>
      <c r="E4" s="3" t="s">
        <v>50</v>
      </c>
      <c r="F4" s="3" t="s">
        <v>21</v>
      </c>
      <c r="G4" s="3" t="s">
        <v>10</v>
      </c>
      <c r="H4" s="5">
        <v>3000</v>
      </c>
      <c r="I4" s="3">
        <v>25</v>
      </c>
      <c r="J4" s="5">
        <f t="shared" ref="J4:J21" si="0">H4*I4</f>
        <v>75000</v>
      </c>
      <c r="K4" s="9">
        <v>43951</v>
      </c>
      <c r="L4" s="6"/>
      <c r="M4" s="6">
        <v>43982</v>
      </c>
      <c r="N4" s="3"/>
    </row>
    <row r="5" spans="1:14" x14ac:dyDescent="0.4">
      <c r="A5" s="3">
        <v>3</v>
      </c>
      <c r="B5" s="3">
        <v>2</v>
      </c>
      <c r="C5" s="3">
        <v>2</v>
      </c>
      <c r="D5" s="3" t="s">
        <v>49</v>
      </c>
      <c r="E5" s="3" t="s">
        <v>50</v>
      </c>
      <c r="F5" s="3"/>
      <c r="G5" s="3" t="s">
        <v>12</v>
      </c>
      <c r="H5" s="5">
        <v>1000</v>
      </c>
      <c r="I5" s="3">
        <v>15</v>
      </c>
      <c r="J5" s="5">
        <f t="shared" si="0"/>
        <v>15000</v>
      </c>
      <c r="K5" s="9">
        <v>43951</v>
      </c>
      <c r="L5" s="6"/>
      <c r="M5" s="6">
        <v>43982</v>
      </c>
      <c r="N5" s="3"/>
    </row>
    <row r="6" spans="1:14" x14ac:dyDescent="0.4">
      <c r="A6" s="3">
        <v>4</v>
      </c>
      <c r="B6" s="3">
        <v>3</v>
      </c>
      <c r="C6" s="3">
        <v>3</v>
      </c>
      <c r="D6" s="3" t="s">
        <v>53</v>
      </c>
      <c r="E6" s="3" t="s">
        <v>54</v>
      </c>
      <c r="F6" s="3" t="s">
        <v>22</v>
      </c>
      <c r="G6" s="3" t="s">
        <v>14</v>
      </c>
      <c r="H6" s="5">
        <v>185000</v>
      </c>
      <c r="I6" s="3">
        <v>2</v>
      </c>
      <c r="J6" s="5">
        <f t="shared" si="0"/>
        <v>370000</v>
      </c>
      <c r="K6" s="9">
        <v>43982</v>
      </c>
      <c r="L6" s="6"/>
      <c r="M6" s="6">
        <v>44012</v>
      </c>
      <c r="N6" s="3"/>
    </row>
    <row r="7" spans="1:14" x14ac:dyDescent="0.4">
      <c r="A7" s="3">
        <v>5</v>
      </c>
      <c r="B7" s="3">
        <v>4</v>
      </c>
      <c r="C7" s="3">
        <v>4</v>
      </c>
      <c r="D7" s="3" t="s">
        <v>47</v>
      </c>
      <c r="E7" s="3" t="s">
        <v>48</v>
      </c>
      <c r="F7" s="3" t="s">
        <v>23</v>
      </c>
      <c r="G7" s="3" t="s">
        <v>16</v>
      </c>
      <c r="H7" s="5">
        <v>10000</v>
      </c>
      <c r="I7" s="3">
        <v>10</v>
      </c>
      <c r="J7" s="5">
        <f t="shared" si="0"/>
        <v>100000</v>
      </c>
      <c r="K7" s="9">
        <v>43982</v>
      </c>
      <c r="L7" s="6">
        <v>43982</v>
      </c>
      <c r="M7" s="6">
        <v>44012</v>
      </c>
      <c r="N7" s="3"/>
    </row>
    <row r="8" spans="1:14" x14ac:dyDescent="0.4">
      <c r="A8" s="3">
        <v>6</v>
      </c>
      <c r="B8" s="3">
        <v>4</v>
      </c>
      <c r="C8" s="3">
        <v>4</v>
      </c>
      <c r="D8" s="3" t="s">
        <v>15</v>
      </c>
      <c r="E8" s="3" t="s">
        <v>48</v>
      </c>
      <c r="F8" s="3"/>
      <c r="G8" s="3" t="s">
        <v>17</v>
      </c>
      <c r="H8" s="5">
        <v>3000</v>
      </c>
      <c r="I8" s="3">
        <v>10</v>
      </c>
      <c r="J8" s="5">
        <f t="shared" si="0"/>
        <v>30000</v>
      </c>
      <c r="K8" s="9">
        <v>43982</v>
      </c>
      <c r="L8" s="6" t="s">
        <v>45</v>
      </c>
      <c r="M8" s="6">
        <v>44012</v>
      </c>
      <c r="N8" s="3"/>
    </row>
    <row r="9" spans="1:14" x14ac:dyDescent="0.4">
      <c r="A9" s="3">
        <v>7</v>
      </c>
      <c r="B9" s="3">
        <v>4</v>
      </c>
      <c r="C9" s="3">
        <v>4</v>
      </c>
      <c r="D9" s="3" t="s">
        <v>47</v>
      </c>
      <c r="E9" s="3" t="s">
        <v>48</v>
      </c>
      <c r="F9" s="3"/>
      <c r="G9" s="3" t="s">
        <v>18</v>
      </c>
      <c r="H9" s="5">
        <v>100000</v>
      </c>
      <c r="I9" s="3">
        <v>1</v>
      </c>
      <c r="J9" s="5">
        <f t="shared" si="0"/>
        <v>100000</v>
      </c>
      <c r="K9" s="9">
        <v>43982</v>
      </c>
      <c r="L9" s="6"/>
      <c r="M9" s="6">
        <v>44012</v>
      </c>
      <c r="N9" s="3"/>
    </row>
    <row r="10" spans="1:14" x14ac:dyDescent="0.4">
      <c r="A10" s="3"/>
      <c r="B10" s="3"/>
      <c r="C10" s="3"/>
      <c r="D10" s="3"/>
      <c r="E10" s="3"/>
      <c r="F10" s="3"/>
      <c r="G10" s="3"/>
      <c r="H10" s="5"/>
      <c r="I10" s="3"/>
      <c r="J10" s="5">
        <f t="shared" si="0"/>
        <v>0</v>
      </c>
      <c r="K10" s="9"/>
      <c r="L10" s="6"/>
      <c r="M10" s="6"/>
      <c r="N10" s="3"/>
    </row>
    <row r="11" spans="1:14" x14ac:dyDescent="0.4">
      <c r="A11" s="3"/>
      <c r="B11" s="3"/>
      <c r="C11" s="3"/>
      <c r="D11" s="3"/>
      <c r="E11" s="3"/>
      <c r="F11" s="3"/>
      <c r="G11" s="3"/>
      <c r="H11" s="5"/>
      <c r="I11" s="3"/>
      <c r="J11" s="5">
        <f t="shared" si="0"/>
        <v>0</v>
      </c>
      <c r="K11" s="9"/>
      <c r="L11" s="6"/>
      <c r="M11" s="6"/>
      <c r="N11" s="3"/>
    </row>
    <row r="12" spans="1:14" x14ac:dyDescent="0.4">
      <c r="A12" s="3"/>
      <c r="B12" s="3"/>
      <c r="C12" s="3"/>
      <c r="D12" s="3"/>
      <c r="E12" s="3"/>
      <c r="F12" s="3"/>
      <c r="G12" s="3"/>
      <c r="H12" s="5"/>
      <c r="I12" s="3"/>
      <c r="J12" s="5">
        <f t="shared" si="0"/>
        <v>0</v>
      </c>
      <c r="K12" s="9"/>
      <c r="L12" s="6"/>
      <c r="M12" s="6"/>
      <c r="N12" s="3"/>
    </row>
    <row r="13" spans="1:14" x14ac:dyDescent="0.4">
      <c r="A13" s="3"/>
      <c r="B13" s="3"/>
      <c r="C13" s="3"/>
      <c r="D13" s="3"/>
      <c r="E13" s="3"/>
      <c r="F13" s="3"/>
      <c r="G13" s="3"/>
      <c r="H13" s="5"/>
      <c r="I13" s="3"/>
      <c r="J13" s="5">
        <f t="shared" si="0"/>
        <v>0</v>
      </c>
      <c r="K13" s="9"/>
      <c r="L13" s="6"/>
      <c r="M13" s="6"/>
      <c r="N13" s="3"/>
    </row>
    <row r="14" spans="1:14" x14ac:dyDescent="0.4">
      <c r="A14" s="3"/>
      <c r="B14" s="3"/>
      <c r="C14" s="3"/>
      <c r="D14" s="3"/>
      <c r="E14" s="3"/>
      <c r="F14" s="3"/>
      <c r="G14" s="3"/>
      <c r="H14" s="5"/>
      <c r="I14" s="3"/>
      <c r="J14" s="5">
        <f t="shared" si="0"/>
        <v>0</v>
      </c>
      <c r="K14" s="9"/>
      <c r="L14" s="6"/>
      <c r="M14" s="6"/>
      <c r="N14" s="3"/>
    </row>
    <row r="15" spans="1:14" x14ac:dyDescent="0.4">
      <c r="A15" s="3"/>
      <c r="B15" s="3"/>
      <c r="C15" s="3"/>
      <c r="D15" s="3"/>
      <c r="E15" s="3"/>
      <c r="F15" s="3"/>
      <c r="G15" s="3"/>
      <c r="H15" s="5"/>
      <c r="I15" s="3"/>
      <c r="J15" s="5">
        <f t="shared" si="0"/>
        <v>0</v>
      </c>
      <c r="K15" s="9"/>
      <c r="L15" s="6"/>
      <c r="M15" s="6"/>
      <c r="N15" s="3"/>
    </row>
    <row r="16" spans="1:14" x14ac:dyDescent="0.4">
      <c r="A16" s="3"/>
      <c r="B16" s="3"/>
      <c r="C16" s="3"/>
      <c r="D16" s="3"/>
      <c r="E16" s="3"/>
      <c r="F16" s="3"/>
      <c r="G16" s="3"/>
      <c r="H16" s="5"/>
      <c r="I16" s="3"/>
      <c r="J16" s="5">
        <f t="shared" si="0"/>
        <v>0</v>
      </c>
      <c r="K16" s="9"/>
      <c r="L16" s="6"/>
      <c r="M16" s="6"/>
      <c r="N16" s="3"/>
    </row>
    <row r="17" spans="1:14" x14ac:dyDescent="0.4">
      <c r="A17" s="3"/>
      <c r="B17" s="3"/>
      <c r="C17" s="3"/>
      <c r="D17" s="3"/>
      <c r="E17" s="3"/>
      <c r="F17" s="3"/>
      <c r="G17" s="3"/>
      <c r="H17" s="5"/>
      <c r="I17" s="3"/>
      <c r="J17" s="5">
        <f t="shared" si="0"/>
        <v>0</v>
      </c>
      <c r="K17" s="9"/>
      <c r="L17" s="6"/>
      <c r="M17" s="6"/>
      <c r="N17" s="3"/>
    </row>
    <row r="18" spans="1:14" x14ac:dyDescent="0.4">
      <c r="A18" s="3"/>
      <c r="B18" s="3"/>
      <c r="C18" s="3"/>
      <c r="D18" s="3"/>
      <c r="E18" s="3"/>
      <c r="F18" s="3"/>
      <c r="G18" s="3"/>
      <c r="H18" s="5"/>
      <c r="I18" s="3"/>
      <c r="J18" s="5">
        <f t="shared" si="0"/>
        <v>0</v>
      </c>
      <c r="K18" s="9"/>
      <c r="L18" s="6"/>
      <c r="M18" s="6"/>
      <c r="N18" s="3"/>
    </row>
    <row r="19" spans="1:14" x14ac:dyDescent="0.4">
      <c r="A19" s="3"/>
      <c r="B19" s="3"/>
      <c r="C19" s="3"/>
      <c r="D19" s="3"/>
      <c r="E19" s="3"/>
      <c r="F19" s="3"/>
      <c r="G19" s="3"/>
      <c r="H19" s="5"/>
      <c r="I19" s="3"/>
      <c r="J19" s="5">
        <f t="shared" si="0"/>
        <v>0</v>
      </c>
      <c r="K19" s="9"/>
      <c r="L19" s="6"/>
      <c r="M19" s="6"/>
      <c r="N19" s="3"/>
    </row>
    <row r="20" spans="1:14" x14ac:dyDescent="0.4">
      <c r="A20" s="3"/>
      <c r="B20" s="3"/>
      <c r="C20" s="3"/>
      <c r="D20" s="3"/>
      <c r="E20" s="3"/>
      <c r="F20" s="3"/>
      <c r="G20" s="3"/>
      <c r="H20" s="5"/>
      <c r="I20" s="3"/>
      <c r="J20" s="5">
        <f t="shared" si="0"/>
        <v>0</v>
      </c>
      <c r="K20" s="9"/>
      <c r="L20" s="6"/>
      <c r="M20" s="6"/>
      <c r="N20" s="3"/>
    </row>
    <row r="21" spans="1:14" x14ac:dyDescent="0.4">
      <c r="A21" s="3"/>
      <c r="B21" s="3"/>
      <c r="C21" s="3"/>
      <c r="D21" s="3"/>
      <c r="E21" s="3"/>
      <c r="F21" s="3"/>
      <c r="G21" s="3"/>
      <c r="H21" s="5"/>
      <c r="I21" s="3"/>
      <c r="J21" s="5">
        <f t="shared" si="0"/>
        <v>0</v>
      </c>
      <c r="K21" s="9"/>
      <c r="L21" s="6"/>
      <c r="M21" s="6"/>
      <c r="N21" s="3"/>
    </row>
    <row r="22" spans="1:14" x14ac:dyDescent="0.4">
      <c r="K22" s="7"/>
      <c r="L22" s="7"/>
      <c r="M22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2D0AE-7952-48B3-962F-E866C9E8ADFD}">
  <sheetPr codeName="Sheet2"/>
  <dimension ref="A1:E22"/>
  <sheetViews>
    <sheetView workbookViewId="0">
      <selection activeCell="L9" sqref="L9"/>
    </sheetView>
  </sheetViews>
  <sheetFormatPr defaultRowHeight="18.75" x14ac:dyDescent="0.4"/>
  <cols>
    <col min="1" max="1" width="4.25" customWidth="1"/>
    <col min="2" max="3" width="24.25" customWidth="1"/>
    <col min="4" max="4" width="33.75" customWidth="1"/>
    <col min="5" max="5" width="29" customWidth="1"/>
  </cols>
  <sheetData>
    <row r="1" spans="1:5" ht="24" x14ac:dyDescent="0.4">
      <c r="A1" s="1" t="s">
        <v>39</v>
      </c>
    </row>
    <row r="2" spans="1:5" x14ac:dyDescent="0.4">
      <c r="A2" s="2" t="s">
        <v>42</v>
      </c>
      <c r="B2" s="2" t="s">
        <v>38</v>
      </c>
      <c r="C2" s="2" t="s">
        <v>37</v>
      </c>
      <c r="D2" s="2" t="s">
        <v>36</v>
      </c>
      <c r="E2" s="2" t="s">
        <v>35</v>
      </c>
    </row>
    <row r="3" spans="1:5" x14ac:dyDescent="0.4">
      <c r="A3" s="3">
        <v>1</v>
      </c>
      <c r="B3" s="3" t="s">
        <v>4</v>
      </c>
      <c r="C3" s="3" t="s">
        <v>34</v>
      </c>
      <c r="D3" s="3" t="s">
        <v>33</v>
      </c>
      <c r="E3" s="3" t="s">
        <v>32</v>
      </c>
    </row>
    <row r="4" spans="1:5" x14ac:dyDescent="0.4">
      <c r="A4" s="3">
        <v>2</v>
      </c>
      <c r="B4" s="3" t="s">
        <v>9</v>
      </c>
      <c r="C4" s="3" t="s">
        <v>31</v>
      </c>
      <c r="D4" s="3" t="s">
        <v>30</v>
      </c>
      <c r="E4" s="3" t="s">
        <v>29</v>
      </c>
    </row>
    <row r="5" spans="1:5" x14ac:dyDescent="0.4">
      <c r="A5" s="3">
        <v>3</v>
      </c>
      <c r="B5" s="3" t="s">
        <v>13</v>
      </c>
      <c r="C5" s="3" t="s">
        <v>40</v>
      </c>
      <c r="D5" s="3" t="s">
        <v>28</v>
      </c>
      <c r="E5" s="3" t="s">
        <v>27</v>
      </c>
    </row>
    <row r="6" spans="1:5" x14ac:dyDescent="0.4">
      <c r="A6" s="3">
        <v>4</v>
      </c>
      <c r="B6" s="3" t="s">
        <v>15</v>
      </c>
      <c r="C6" s="3" t="s">
        <v>41</v>
      </c>
      <c r="D6" s="3" t="s">
        <v>26</v>
      </c>
      <c r="E6" s="3" t="s">
        <v>25</v>
      </c>
    </row>
    <row r="7" spans="1:5" x14ac:dyDescent="0.4">
      <c r="A7" s="3"/>
      <c r="B7" s="3"/>
      <c r="C7" s="3"/>
      <c r="D7" s="3"/>
      <c r="E7" s="3"/>
    </row>
    <row r="8" spans="1:5" x14ac:dyDescent="0.4">
      <c r="A8" s="3"/>
      <c r="B8" s="3"/>
      <c r="C8" s="3"/>
      <c r="D8" s="3"/>
      <c r="E8" s="3"/>
    </row>
    <row r="9" spans="1:5" x14ac:dyDescent="0.4">
      <c r="A9" s="3"/>
      <c r="B9" s="3"/>
      <c r="C9" s="3"/>
      <c r="D9" s="3"/>
      <c r="E9" s="3"/>
    </row>
    <row r="10" spans="1:5" x14ac:dyDescent="0.4">
      <c r="A10" s="3"/>
      <c r="B10" s="3"/>
      <c r="C10" s="3"/>
      <c r="D10" s="3"/>
      <c r="E10" s="3"/>
    </row>
    <row r="11" spans="1:5" x14ac:dyDescent="0.4">
      <c r="A11" s="3"/>
      <c r="B11" s="3"/>
      <c r="C11" s="3"/>
      <c r="D11" s="3"/>
      <c r="E11" s="3"/>
    </row>
    <row r="12" spans="1:5" x14ac:dyDescent="0.4">
      <c r="A12" s="3"/>
      <c r="B12" s="3"/>
      <c r="C12" s="3"/>
      <c r="D12" s="3"/>
      <c r="E12" s="3"/>
    </row>
    <row r="13" spans="1:5" x14ac:dyDescent="0.4">
      <c r="A13" s="3"/>
      <c r="B13" s="3"/>
      <c r="C13" s="3"/>
      <c r="D13" s="3"/>
      <c r="E13" s="3"/>
    </row>
    <row r="14" spans="1:5" x14ac:dyDescent="0.4">
      <c r="A14" s="3"/>
      <c r="B14" s="3"/>
      <c r="C14" s="3"/>
      <c r="D14" s="3"/>
      <c r="E14" s="3"/>
    </row>
    <row r="15" spans="1:5" x14ac:dyDescent="0.4">
      <c r="A15" s="3"/>
      <c r="B15" s="3"/>
      <c r="C15" s="3"/>
      <c r="D15" s="3"/>
      <c r="E15" s="3"/>
    </row>
    <row r="16" spans="1:5" x14ac:dyDescent="0.4">
      <c r="A16" s="3"/>
      <c r="B16" s="3"/>
      <c r="C16" s="3"/>
      <c r="D16" s="3"/>
      <c r="E16" s="3"/>
    </row>
    <row r="17" spans="1:5" x14ac:dyDescent="0.4">
      <c r="A17" s="3"/>
      <c r="B17" s="3"/>
      <c r="C17" s="3"/>
      <c r="D17" s="3"/>
      <c r="E17" s="3"/>
    </row>
    <row r="18" spans="1:5" x14ac:dyDescent="0.4">
      <c r="A18" s="3"/>
      <c r="B18" s="3"/>
      <c r="C18" s="3"/>
      <c r="D18" s="3"/>
      <c r="E18" s="3"/>
    </row>
    <row r="19" spans="1:5" x14ac:dyDescent="0.4">
      <c r="A19" s="3"/>
      <c r="B19" s="3"/>
      <c r="C19" s="3"/>
      <c r="D19" s="3"/>
      <c r="E19" s="3"/>
    </row>
    <row r="20" spans="1:5" x14ac:dyDescent="0.4">
      <c r="A20" s="3"/>
      <c r="B20" s="3"/>
      <c r="C20" s="3"/>
      <c r="D20" s="3"/>
      <c r="E20" s="3"/>
    </row>
    <row r="21" spans="1:5" x14ac:dyDescent="0.4">
      <c r="A21" s="3"/>
      <c r="B21" s="3"/>
      <c r="C21" s="3"/>
      <c r="D21" s="3"/>
      <c r="E21" s="3"/>
    </row>
    <row r="22" spans="1:5" x14ac:dyDescent="0.4">
      <c r="A22" s="3"/>
      <c r="B22" s="3"/>
      <c r="C22" s="3"/>
      <c r="D22" s="3"/>
      <c r="E22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E836F-C59F-403E-9C5C-02B1206EBF2B}">
  <sheetPr>
    <pageSetUpPr fitToPage="1"/>
  </sheetPr>
  <dimension ref="A1:T42"/>
  <sheetViews>
    <sheetView showGridLines="0" tabSelected="1" topLeftCell="A13" workbookViewId="0">
      <selection activeCell="C36" sqref="C36:Q39"/>
    </sheetView>
  </sheetViews>
  <sheetFormatPr defaultColWidth="5.625" defaultRowHeight="30" customHeight="1" x14ac:dyDescent="0.4"/>
  <cols>
    <col min="1" max="16384" width="5.625" style="10"/>
  </cols>
  <sheetData>
    <row r="1" spans="1:20" ht="30" customHeight="1" x14ac:dyDescent="0.4">
      <c r="A1" s="42" t="s">
        <v>93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20" ht="9.9499999999999993" customHeight="1" x14ac:dyDescent="0.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20" ht="30" customHeight="1" x14ac:dyDescent="0.4">
      <c r="A3" s="43"/>
      <c r="B3" s="43"/>
      <c r="C3" s="43"/>
      <c r="D3" s="43"/>
      <c r="E3" s="43"/>
      <c r="F3" s="43"/>
      <c r="G3" s="43"/>
      <c r="H3" s="44" t="s">
        <v>92</v>
      </c>
      <c r="I3" s="44"/>
      <c r="J3" s="18"/>
      <c r="K3" s="18"/>
      <c r="L3" s="22" t="s">
        <v>91</v>
      </c>
      <c r="M3" s="22"/>
      <c r="N3" s="35"/>
      <c r="O3" s="35"/>
      <c r="P3" s="35"/>
      <c r="Q3" s="35"/>
    </row>
    <row r="4" spans="1:20" ht="30" customHeight="1" x14ac:dyDescent="0.4">
      <c r="A4" s="18"/>
      <c r="B4" s="22" t="s">
        <v>90</v>
      </c>
      <c r="C4" s="22"/>
      <c r="D4" s="46"/>
      <c r="E4" s="46"/>
      <c r="F4" s="46"/>
      <c r="G4" s="11" t="s">
        <v>89</v>
      </c>
      <c r="H4" s="18"/>
      <c r="I4" s="18"/>
      <c r="J4" s="18"/>
      <c r="K4" s="18"/>
      <c r="L4" s="22" t="s">
        <v>88</v>
      </c>
      <c r="M4" s="22"/>
      <c r="N4" s="45"/>
      <c r="O4" s="45"/>
      <c r="P4" s="45"/>
      <c r="Q4" s="45"/>
    </row>
    <row r="5" spans="1:20" ht="9.9499999999999993" customHeight="1" x14ac:dyDescent="0.4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</row>
    <row r="6" spans="1:20" ht="24.95" customHeight="1" thickBot="1" x14ac:dyDescent="0.45">
      <c r="A6" s="41" t="s">
        <v>87</v>
      </c>
      <c r="B6" s="41"/>
      <c r="C6" s="47"/>
      <c r="D6" s="47"/>
      <c r="E6" s="47"/>
      <c r="F6" s="47"/>
      <c r="G6" s="47"/>
      <c r="H6" s="47"/>
      <c r="I6" s="47"/>
      <c r="J6" s="18"/>
      <c r="K6" s="22" t="s">
        <v>86</v>
      </c>
      <c r="L6" s="22"/>
      <c r="M6" s="22"/>
      <c r="N6" s="22"/>
      <c r="O6" s="22"/>
      <c r="P6" s="22"/>
      <c r="Q6" s="22"/>
      <c r="S6" s="10" t="s">
        <v>85</v>
      </c>
      <c r="T6" s="20">
        <v>0.1</v>
      </c>
    </row>
    <row r="7" spans="1:20" ht="20.100000000000001" customHeight="1" thickTop="1" x14ac:dyDescent="0.4">
      <c r="A7" s="18"/>
      <c r="B7" s="22" t="s">
        <v>84</v>
      </c>
      <c r="C7" s="22"/>
      <c r="D7" s="22"/>
      <c r="E7" s="22"/>
      <c r="F7" s="22"/>
      <c r="G7" s="22"/>
      <c r="H7" s="22"/>
      <c r="I7" s="22"/>
      <c r="J7" s="22"/>
      <c r="K7" s="22" t="s">
        <v>83</v>
      </c>
      <c r="L7" s="22"/>
      <c r="M7" s="22"/>
      <c r="N7" s="22"/>
      <c r="O7" s="22"/>
      <c r="P7" s="22"/>
      <c r="Q7" s="22"/>
      <c r="S7" s="10" t="s">
        <v>82</v>
      </c>
    </row>
    <row r="8" spans="1:20" ht="20.100000000000001" customHeight="1" x14ac:dyDescent="0.4">
      <c r="A8" s="18"/>
      <c r="B8" s="18"/>
      <c r="C8" s="18"/>
      <c r="D8" s="18"/>
      <c r="E8" s="18"/>
      <c r="F8" s="18"/>
      <c r="G8" s="18"/>
      <c r="H8" s="18"/>
      <c r="I8" s="18"/>
      <c r="J8" s="18"/>
      <c r="K8" s="22" t="s">
        <v>81</v>
      </c>
      <c r="L8" s="22"/>
      <c r="M8" s="22"/>
      <c r="N8" s="22"/>
      <c r="O8" s="22"/>
      <c r="P8" s="22"/>
      <c r="Q8" s="22"/>
      <c r="S8" s="10" t="s">
        <v>80</v>
      </c>
    </row>
    <row r="9" spans="1:20" ht="20.100000000000001" customHeight="1" x14ac:dyDescent="0.4">
      <c r="A9" s="18"/>
      <c r="B9" s="18"/>
      <c r="C9" s="18"/>
      <c r="D9" s="18"/>
      <c r="E9" s="18"/>
      <c r="F9" s="18"/>
      <c r="G9" s="18"/>
      <c r="H9" s="18"/>
      <c r="I9" s="18"/>
      <c r="J9" s="18"/>
      <c r="K9" s="22" t="s">
        <v>79</v>
      </c>
      <c r="L9" s="22"/>
      <c r="M9" s="22"/>
      <c r="N9" s="22"/>
      <c r="O9" s="22"/>
      <c r="P9" s="22"/>
      <c r="Q9" s="22"/>
      <c r="S9" s="10" t="s">
        <v>78</v>
      </c>
    </row>
    <row r="10" spans="1:20" ht="20.100000000000001" customHeight="1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35" t="s">
        <v>77</v>
      </c>
      <c r="L10" s="35"/>
      <c r="M10" s="22"/>
      <c r="N10" s="22"/>
      <c r="O10" s="22"/>
      <c r="P10" s="22"/>
      <c r="Q10" s="22"/>
      <c r="S10" s="10" t="s">
        <v>76</v>
      </c>
    </row>
    <row r="11" spans="1:20" ht="20.100000000000001" customHeight="1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35" t="s">
        <v>75</v>
      </c>
      <c r="L11" s="35"/>
      <c r="M11" s="22"/>
      <c r="N11" s="22"/>
      <c r="O11" s="22"/>
      <c r="P11" s="22"/>
      <c r="Q11" s="22"/>
    </row>
    <row r="12" spans="1:20" ht="20.100000000000001" customHeight="1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35" t="s">
        <v>74</v>
      </c>
      <c r="L12" s="35"/>
      <c r="M12" s="22"/>
      <c r="N12" s="22"/>
      <c r="O12" s="22"/>
      <c r="P12" s="22"/>
      <c r="Q12" s="22"/>
    </row>
    <row r="13" spans="1:20" ht="20.100000000000001" customHeight="1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35" t="s">
        <v>73</v>
      </c>
      <c r="L13" s="35"/>
      <c r="M13" s="22"/>
      <c r="N13" s="22"/>
      <c r="O13" s="22"/>
      <c r="P13" s="22"/>
      <c r="Q13" s="22"/>
    </row>
    <row r="14" spans="1:20" ht="9.9499999999999993" customHeight="1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9"/>
      <c r="L14" s="19"/>
      <c r="M14" s="11"/>
      <c r="N14" s="11"/>
      <c r="O14" s="11"/>
      <c r="P14" s="11"/>
      <c r="Q14" s="11"/>
    </row>
    <row r="15" spans="1:20" ht="30" customHeight="1" thickBot="1" x14ac:dyDescent="0.45">
      <c r="A15" s="38" t="s">
        <v>72</v>
      </c>
      <c r="B15" s="38"/>
      <c r="C15" s="38"/>
      <c r="D15" s="39">
        <f>L32</f>
        <v>0</v>
      </c>
      <c r="E15" s="39"/>
      <c r="F15" s="39"/>
      <c r="G15" s="39"/>
      <c r="H15" s="40" t="s">
        <v>71</v>
      </c>
      <c r="I15" s="40"/>
      <c r="J15" s="35" t="s">
        <v>70</v>
      </c>
      <c r="K15" s="35"/>
      <c r="L15" s="35"/>
      <c r="M15" s="36"/>
      <c r="N15" s="36"/>
      <c r="O15" s="36"/>
      <c r="P15" s="36"/>
      <c r="Q15" s="36"/>
    </row>
    <row r="16" spans="1:20" ht="9.9499999999999993" customHeight="1" thickTop="1" x14ac:dyDescent="0.4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1:17" ht="24.95" customHeight="1" x14ac:dyDescent="0.4">
      <c r="A17" s="17" t="s">
        <v>69</v>
      </c>
      <c r="B17" s="24" t="s">
        <v>68</v>
      </c>
      <c r="C17" s="24"/>
      <c r="D17" s="24"/>
      <c r="E17" s="24"/>
      <c r="F17" s="24"/>
      <c r="G17" s="24"/>
      <c r="H17" s="24"/>
      <c r="I17" s="24"/>
      <c r="J17" s="24" t="s">
        <v>67</v>
      </c>
      <c r="K17" s="24"/>
      <c r="L17" s="24" t="s">
        <v>66</v>
      </c>
      <c r="M17" s="24"/>
      <c r="N17" s="24"/>
      <c r="O17" s="24" t="s">
        <v>65</v>
      </c>
      <c r="P17" s="24"/>
      <c r="Q17" s="24"/>
    </row>
    <row r="18" spans="1:17" ht="20.100000000000001" customHeight="1" x14ac:dyDescent="0.4">
      <c r="A18" s="16"/>
      <c r="B18" s="21"/>
      <c r="C18" s="21"/>
      <c r="D18" s="21"/>
      <c r="E18" s="21"/>
      <c r="F18" s="21"/>
      <c r="G18" s="21"/>
      <c r="H18" s="21"/>
      <c r="I18" s="21"/>
      <c r="J18" s="15"/>
      <c r="K18" s="14"/>
      <c r="L18" s="37"/>
      <c r="M18" s="37"/>
      <c r="N18" s="37"/>
      <c r="O18" s="32" t="str">
        <f t="shared" ref="O18:O29" si="0">IF(AND(J18&lt;&gt;"",L18&lt;&gt;""),J18*L18,"")</f>
        <v/>
      </c>
      <c r="P18" s="32"/>
      <c r="Q18" s="32"/>
    </row>
    <row r="19" spans="1:17" ht="20.100000000000001" customHeight="1" x14ac:dyDescent="0.4">
      <c r="A19" s="16"/>
      <c r="B19" s="21"/>
      <c r="C19" s="21"/>
      <c r="D19" s="21"/>
      <c r="E19" s="21"/>
      <c r="F19" s="21"/>
      <c r="G19" s="21"/>
      <c r="H19" s="21"/>
      <c r="I19" s="21"/>
      <c r="J19" s="15"/>
      <c r="K19" s="14"/>
      <c r="L19" s="29"/>
      <c r="M19" s="30"/>
      <c r="N19" s="31"/>
      <c r="O19" s="32" t="str">
        <f t="shared" si="0"/>
        <v/>
      </c>
      <c r="P19" s="32"/>
      <c r="Q19" s="32"/>
    </row>
    <row r="20" spans="1:17" ht="20.100000000000001" customHeight="1" x14ac:dyDescent="0.4">
      <c r="A20" s="16"/>
      <c r="B20" s="21"/>
      <c r="C20" s="21"/>
      <c r="D20" s="21"/>
      <c r="E20" s="21"/>
      <c r="F20" s="21"/>
      <c r="G20" s="21"/>
      <c r="H20" s="21"/>
      <c r="I20" s="21"/>
      <c r="J20" s="15"/>
      <c r="K20" s="14"/>
      <c r="L20" s="29"/>
      <c r="M20" s="30"/>
      <c r="N20" s="31"/>
      <c r="O20" s="32" t="str">
        <f t="shared" si="0"/>
        <v/>
      </c>
      <c r="P20" s="32"/>
      <c r="Q20" s="32"/>
    </row>
    <row r="21" spans="1:17" ht="20.100000000000001" customHeight="1" x14ac:dyDescent="0.4">
      <c r="A21" s="16"/>
      <c r="B21" s="21"/>
      <c r="C21" s="21"/>
      <c r="D21" s="21"/>
      <c r="E21" s="21"/>
      <c r="F21" s="21"/>
      <c r="G21" s="21"/>
      <c r="H21" s="21"/>
      <c r="I21" s="21"/>
      <c r="J21" s="15"/>
      <c r="K21" s="14"/>
      <c r="L21" s="29"/>
      <c r="M21" s="30"/>
      <c r="N21" s="31"/>
      <c r="O21" s="32" t="str">
        <f t="shared" si="0"/>
        <v/>
      </c>
      <c r="P21" s="32"/>
      <c r="Q21" s="32"/>
    </row>
    <row r="22" spans="1:17" ht="20.100000000000001" customHeight="1" x14ac:dyDescent="0.4">
      <c r="A22" s="16"/>
      <c r="B22" s="21"/>
      <c r="C22" s="21"/>
      <c r="D22" s="21"/>
      <c r="E22" s="21"/>
      <c r="F22" s="21"/>
      <c r="G22" s="21"/>
      <c r="H22" s="21"/>
      <c r="I22" s="21"/>
      <c r="J22" s="15"/>
      <c r="K22" s="14"/>
      <c r="L22" s="29"/>
      <c r="M22" s="30"/>
      <c r="N22" s="31"/>
      <c r="O22" s="32" t="str">
        <f t="shared" si="0"/>
        <v/>
      </c>
      <c r="P22" s="32"/>
      <c r="Q22" s="32"/>
    </row>
    <row r="23" spans="1:17" ht="20.100000000000001" customHeight="1" x14ac:dyDescent="0.4">
      <c r="A23" s="16"/>
      <c r="B23" s="21"/>
      <c r="C23" s="21"/>
      <c r="D23" s="21"/>
      <c r="E23" s="21"/>
      <c r="F23" s="21"/>
      <c r="G23" s="21"/>
      <c r="H23" s="21"/>
      <c r="I23" s="21"/>
      <c r="J23" s="15"/>
      <c r="K23" s="14"/>
      <c r="L23" s="29"/>
      <c r="M23" s="30"/>
      <c r="N23" s="31"/>
      <c r="O23" s="32" t="str">
        <f t="shared" si="0"/>
        <v/>
      </c>
      <c r="P23" s="32"/>
      <c r="Q23" s="32"/>
    </row>
    <row r="24" spans="1:17" ht="20.100000000000001" customHeight="1" x14ac:dyDescent="0.4">
      <c r="A24" s="16"/>
      <c r="B24" s="21"/>
      <c r="C24" s="21"/>
      <c r="D24" s="21"/>
      <c r="E24" s="21"/>
      <c r="F24" s="21"/>
      <c r="G24" s="21"/>
      <c r="H24" s="21"/>
      <c r="I24" s="21"/>
      <c r="J24" s="15"/>
      <c r="K24" s="14"/>
      <c r="L24" s="29"/>
      <c r="M24" s="30"/>
      <c r="N24" s="31"/>
      <c r="O24" s="32" t="str">
        <f t="shared" si="0"/>
        <v/>
      </c>
      <c r="P24" s="32"/>
      <c r="Q24" s="32"/>
    </row>
    <row r="25" spans="1:17" ht="20.100000000000001" customHeight="1" x14ac:dyDescent="0.4">
      <c r="A25" s="16"/>
      <c r="B25" s="21"/>
      <c r="C25" s="21"/>
      <c r="D25" s="21"/>
      <c r="E25" s="21"/>
      <c r="F25" s="21"/>
      <c r="G25" s="21"/>
      <c r="H25" s="21"/>
      <c r="I25" s="21"/>
      <c r="J25" s="15"/>
      <c r="K25" s="14"/>
      <c r="L25" s="29"/>
      <c r="M25" s="30"/>
      <c r="N25" s="31"/>
      <c r="O25" s="32" t="str">
        <f t="shared" si="0"/>
        <v/>
      </c>
      <c r="P25" s="32"/>
      <c r="Q25" s="32"/>
    </row>
    <row r="26" spans="1:17" ht="20.100000000000001" customHeight="1" x14ac:dyDescent="0.4">
      <c r="A26" s="16"/>
      <c r="B26" s="21"/>
      <c r="C26" s="21"/>
      <c r="D26" s="21"/>
      <c r="E26" s="21"/>
      <c r="F26" s="21"/>
      <c r="G26" s="21"/>
      <c r="H26" s="21"/>
      <c r="I26" s="21"/>
      <c r="J26" s="15"/>
      <c r="K26" s="14"/>
      <c r="L26" s="29"/>
      <c r="M26" s="30"/>
      <c r="N26" s="31"/>
      <c r="O26" s="32" t="str">
        <f t="shared" si="0"/>
        <v/>
      </c>
      <c r="P26" s="32"/>
      <c r="Q26" s="32"/>
    </row>
    <row r="27" spans="1:17" ht="20.100000000000001" customHeight="1" x14ac:dyDescent="0.4">
      <c r="A27" s="16"/>
      <c r="B27" s="21"/>
      <c r="C27" s="21"/>
      <c r="D27" s="21"/>
      <c r="E27" s="21"/>
      <c r="F27" s="21"/>
      <c r="G27" s="21"/>
      <c r="H27" s="21"/>
      <c r="I27" s="21"/>
      <c r="J27" s="15"/>
      <c r="K27" s="14"/>
      <c r="L27" s="29"/>
      <c r="M27" s="30"/>
      <c r="N27" s="31"/>
      <c r="O27" s="32" t="str">
        <f t="shared" si="0"/>
        <v/>
      </c>
      <c r="P27" s="32"/>
      <c r="Q27" s="32"/>
    </row>
    <row r="28" spans="1:17" ht="20.100000000000001" customHeight="1" x14ac:dyDescent="0.4">
      <c r="A28" s="16"/>
      <c r="B28" s="21"/>
      <c r="C28" s="21"/>
      <c r="D28" s="21"/>
      <c r="E28" s="21"/>
      <c r="F28" s="21"/>
      <c r="G28" s="21"/>
      <c r="H28" s="21"/>
      <c r="I28" s="21"/>
      <c r="J28" s="15"/>
      <c r="K28" s="14"/>
      <c r="L28" s="29"/>
      <c r="M28" s="30"/>
      <c r="N28" s="31"/>
      <c r="O28" s="32" t="str">
        <f t="shared" si="0"/>
        <v/>
      </c>
      <c r="P28" s="32"/>
      <c r="Q28" s="32"/>
    </row>
    <row r="29" spans="1:17" ht="20.100000000000001" customHeight="1" x14ac:dyDescent="0.4">
      <c r="A29" s="16"/>
      <c r="B29" s="21"/>
      <c r="C29" s="21"/>
      <c r="D29" s="21"/>
      <c r="E29" s="21"/>
      <c r="F29" s="21"/>
      <c r="G29" s="21"/>
      <c r="H29" s="21"/>
      <c r="I29" s="21"/>
      <c r="J29" s="15"/>
      <c r="K29" s="14"/>
      <c r="L29" s="29"/>
      <c r="M29" s="30"/>
      <c r="N29" s="31"/>
      <c r="O29" s="32" t="str">
        <f t="shared" si="0"/>
        <v/>
      </c>
      <c r="P29" s="32"/>
      <c r="Q29" s="32"/>
    </row>
    <row r="30" spans="1:17" ht="20.100000000000001" customHeight="1" x14ac:dyDescent="0.4">
      <c r="A30" s="11"/>
      <c r="B30" s="11"/>
      <c r="C30" s="11"/>
      <c r="D30" s="11"/>
      <c r="E30" s="11"/>
      <c r="F30" s="11"/>
      <c r="G30" s="11"/>
      <c r="H30" s="11"/>
      <c r="I30" s="11"/>
      <c r="J30" s="24" t="s">
        <v>64</v>
      </c>
      <c r="K30" s="24"/>
      <c r="L30" s="33">
        <f>SUM(O18:Q29)</f>
        <v>0</v>
      </c>
      <c r="M30" s="34"/>
      <c r="N30" s="34"/>
      <c r="O30" s="34"/>
      <c r="P30" s="34"/>
      <c r="Q30" s="34"/>
    </row>
    <row r="31" spans="1:17" ht="20.100000000000001" customHeight="1" x14ac:dyDescent="0.4">
      <c r="A31" s="11" t="s">
        <v>63</v>
      </c>
      <c r="B31" s="11"/>
      <c r="C31" s="11"/>
      <c r="D31" s="11"/>
      <c r="E31" s="11"/>
      <c r="F31" s="11"/>
      <c r="G31" s="11"/>
      <c r="H31" s="11"/>
      <c r="I31" s="11"/>
      <c r="J31" s="24" t="s">
        <v>62</v>
      </c>
      <c r="K31" s="24"/>
      <c r="L31" s="32">
        <f>L30*$T$6</f>
        <v>0</v>
      </c>
      <c r="M31" s="32"/>
      <c r="N31" s="32"/>
      <c r="O31" s="32"/>
      <c r="P31" s="32"/>
      <c r="Q31" s="32"/>
    </row>
    <row r="32" spans="1:17" ht="20.100000000000001" customHeight="1" x14ac:dyDescent="0.4">
      <c r="A32" s="11"/>
      <c r="B32" s="22" t="s">
        <v>61</v>
      </c>
      <c r="C32" s="22"/>
      <c r="D32" s="22"/>
      <c r="E32" s="22"/>
      <c r="F32" s="22"/>
      <c r="G32" s="11"/>
      <c r="H32" s="11"/>
      <c r="I32" s="11"/>
      <c r="J32" s="24" t="s">
        <v>60</v>
      </c>
      <c r="K32" s="24"/>
      <c r="L32" s="28">
        <f>L30+L31</f>
        <v>0</v>
      </c>
      <c r="M32" s="28"/>
      <c r="N32" s="28"/>
      <c r="O32" s="28"/>
      <c r="P32" s="28"/>
      <c r="Q32" s="28"/>
    </row>
    <row r="33" spans="1:17" ht="20.100000000000001" customHeight="1" x14ac:dyDescent="0.4">
      <c r="A33" s="11"/>
      <c r="B33" s="13" t="s">
        <v>59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20.100000000000001" customHeight="1" x14ac:dyDescent="0.4">
      <c r="A34" s="11"/>
      <c r="B34" s="23" t="s">
        <v>58</v>
      </c>
      <c r="C34" s="23"/>
      <c r="D34" s="23"/>
      <c r="E34" s="23"/>
      <c r="F34" s="23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20.100000000000001" customHeight="1" x14ac:dyDescent="0.4">
      <c r="A35" s="11"/>
      <c r="B35" s="26" t="s">
        <v>57</v>
      </c>
      <c r="C35" s="27"/>
      <c r="D35" s="27"/>
      <c r="E35" s="27"/>
      <c r="F35" s="2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20.100000000000001" customHeight="1" x14ac:dyDescent="0.4">
      <c r="A36" s="24" t="s">
        <v>56</v>
      </c>
      <c r="B36" s="24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</row>
    <row r="37" spans="1:17" ht="20.100000000000001" customHeight="1" x14ac:dyDescent="0.4">
      <c r="A37" s="24"/>
      <c r="B37" s="24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</row>
    <row r="38" spans="1:17" ht="20.100000000000001" customHeight="1" x14ac:dyDescent="0.4">
      <c r="A38" s="24"/>
      <c r="B38" s="24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</row>
    <row r="39" spans="1:17" ht="20.100000000000001" customHeight="1" x14ac:dyDescent="0.4">
      <c r="A39" s="24"/>
      <c r="B39" s="24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</row>
    <row r="40" spans="1:17" s="11" customFormat="1" ht="20.100000000000001" customHeight="1" x14ac:dyDescent="0.4">
      <c r="A40" s="12"/>
    </row>
    <row r="41" spans="1:17" s="11" customFormat="1" ht="20.100000000000001" customHeight="1" x14ac:dyDescent="0.4">
      <c r="A41" s="12"/>
    </row>
    <row r="42" spans="1:17" s="11" customFormat="1" ht="20.100000000000001" customHeight="1" x14ac:dyDescent="0.4">
      <c r="A42" s="12"/>
    </row>
  </sheetData>
  <mergeCells count="80">
    <mergeCell ref="A6:B6"/>
    <mergeCell ref="A1:Q1"/>
    <mergeCell ref="A3:G3"/>
    <mergeCell ref="H3:I3"/>
    <mergeCell ref="L3:M3"/>
    <mergeCell ref="L4:M4"/>
    <mergeCell ref="N3:Q3"/>
    <mergeCell ref="N4:Q4"/>
    <mergeCell ref="B4:C4"/>
    <mergeCell ref="D4:F4"/>
    <mergeCell ref="C6:I6"/>
    <mergeCell ref="K6:Q6"/>
    <mergeCell ref="B7:J7"/>
    <mergeCell ref="L19:N19"/>
    <mergeCell ref="L20:N20"/>
    <mergeCell ref="L21:N21"/>
    <mergeCell ref="K13:L13"/>
    <mergeCell ref="A15:C15"/>
    <mergeCell ref="D15:G15"/>
    <mergeCell ref="H15:I15"/>
    <mergeCell ref="L17:N17"/>
    <mergeCell ref="K9:Q9"/>
    <mergeCell ref="K10:L10"/>
    <mergeCell ref="M10:Q10"/>
    <mergeCell ref="K8:Q8"/>
    <mergeCell ref="K7:Q7"/>
    <mergeCell ref="B23:I23"/>
    <mergeCell ref="K11:L11"/>
    <mergeCell ref="M11:Q11"/>
    <mergeCell ref="K12:L12"/>
    <mergeCell ref="M12:Q12"/>
    <mergeCell ref="B19:I19"/>
    <mergeCell ref="B20:I20"/>
    <mergeCell ref="O19:Q19"/>
    <mergeCell ref="O20:Q20"/>
    <mergeCell ref="O18:Q18"/>
    <mergeCell ref="L18:N18"/>
    <mergeCell ref="B17:I17"/>
    <mergeCell ref="J17:K17"/>
    <mergeCell ref="B18:I18"/>
    <mergeCell ref="M13:Q13"/>
    <mergeCell ref="O17:Q17"/>
    <mergeCell ref="B27:I27"/>
    <mergeCell ref="O25:Q25"/>
    <mergeCell ref="O26:Q26"/>
    <mergeCell ref="O27:Q27"/>
    <mergeCell ref="B24:I24"/>
    <mergeCell ref="B25:I25"/>
    <mergeCell ref="B26:I26"/>
    <mergeCell ref="B22:I22"/>
    <mergeCell ref="L22:N22"/>
    <mergeCell ref="J15:L15"/>
    <mergeCell ref="M15:Q15"/>
    <mergeCell ref="B21:I21"/>
    <mergeCell ref="O21:Q21"/>
    <mergeCell ref="L23:N23"/>
    <mergeCell ref="O22:Q22"/>
    <mergeCell ref="J31:K31"/>
    <mergeCell ref="L30:Q30"/>
    <mergeCell ref="L31:Q31"/>
    <mergeCell ref="O23:Q23"/>
    <mergeCell ref="O24:Q24"/>
    <mergeCell ref="L24:N24"/>
    <mergeCell ref="L25:N25"/>
    <mergeCell ref="L26:N26"/>
    <mergeCell ref="L27:N27"/>
    <mergeCell ref="L28:N28"/>
    <mergeCell ref="J30:K30"/>
    <mergeCell ref="O28:Q28"/>
    <mergeCell ref="O29:Q29"/>
    <mergeCell ref="L29:N29"/>
    <mergeCell ref="B28:I28"/>
    <mergeCell ref="B29:I29"/>
    <mergeCell ref="B32:F32"/>
    <mergeCell ref="B34:F34"/>
    <mergeCell ref="A36:B39"/>
    <mergeCell ref="C36:Q39"/>
    <mergeCell ref="B35:F35"/>
    <mergeCell ref="L32:Q32"/>
    <mergeCell ref="J32:K32"/>
  </mergeCells>
  <phoneticPr fontId="1"/>
  <dataValidations count="1">
    <dataValidation type="list" allowBlank="1" showInputMessage="1" showErrorMessage="1" sqref="K18:K29" xr:uid="{00000000-0002-0000-0000-000000000000}">
      <formula1>$S$6:$S$10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請求データ</vt:lpstr>
      <vt:lpstr>請求先情報</vt:lpstr>
      <vt:lpstr>請求書テンプレート</vt:lpstr>
      <vt:lpstr>請求書テンプレート!Print_Area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 Hosohara</dc:creator>
  <cp:lastModifiedBy>Go Hosohara</cp:lastModifiedBy>
  <cp:lastPrinted>2020-04-01T06:29:53Z</cp:lastPrinted>
  <dcterms:created xsi:type="dcterms:W3CDTF">2020-02-23T07:12:12Z</dcterms:created>
  <dcterms:modified xsi:type="dcterms:W3CDTF">2020-04-01T06:29:54Z</dcterms:modified>
</cp:coreProperties>
</file>